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mid\Desktop\P_13_doc\"/>
    </mc:Choice>
  </mc:AlternateContent>
  <xr:revisionPtr revIDLastSave="0" documentId="13_ncr:1_{168A07A8-AEA5-4D4D-AE62-B9A578BF7D2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3" i="1" l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</calcChain>
</file>

<file path=xl/sharedStrings.xml><?xml version="1.0" encoding="utf-8"?>
<sst xmlns="http://schemas.openxmlformats.org/spreadsheetml/2006/main" count="44" uniqueCount="25">
  <si>
    <t>N°</t>
  </si>
  <si>
    <t>Tâche</t>
  </si>
  <si>
    <t>Date début</t>
  </si>
  <si>
    <t>Date fin</t>
  </si>
  <si>
    <t>Durée</t>
  </si>
  <si>
    <t>Statut</t>
  </si>
  <si>
    <t>Analyse du besoin client</t>
  </si>
  <si>
    <t>2 jours</t>
  </si>
  <si>
    <t>Terminé</t>
  </si>
  <si>
    <t>Cahier des charges du portfolio</t>
  </si>
  <si>
    <t>Diagramme de Gantt</t>
  </si>
  <si>
    <t>1 jour</t>
  </si>
  <si>
    <t>En cours</t>
  </si>
  <si>
    <t>Carte mentale personnalisée</t>
  </si>
  <si>
    <t>À faire</t>
  </si>
  <si>
    <t>Mockup dashboard veille</t>
  </si>
  <si>
    <t>Mockup dashboard profil</t>
  </si>
  <si>
    <t>Dashboard Power BI Veille</t>
  </si>
  <si>
    <t>Dashboard Power BI Profil</t>
  </si>
  <si>
    <t>Documentation utilisateur</t>
  </si>
  <si>
    <t>Vidéo de formation Power BI</t>
  </si>
  <si>
    <t>Mise à jour GitHub</t>
  </si>
  <si>
    <t>Finalisation Portfolio</t>
  </si>
  <si>
    <t xml:space="preserve">                                                                                                                                 Diagramme de Gantt – Projet Portfolio Aéroworld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</si>
  <si>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Période : 15 juin 2026 – 03 juillet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</si>
</sst>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;@"/>
    <numFmt numFmtId="165" formatCode="m/d/yyyy"/>
  </numFmts>
  <fonts count="4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6"/>
      <color theme="1"/>
      <name val="Calibri"/>
      <family val="2"/>
    </font>
    <font>
      <b/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"/>
  <sheetViews>
    <sheetView tabSelected="1" zoomScaleNormal="100" workbookViewId="0">
      <selection activeCell="N10" sqref="N10"/>
    </sheetView>
  </sheetViews>
  <sheetFormatPr baseColWidth="10" defaultColWidth="10.5703125" defaultRowHeight="15" x14ac:dyDescent="0.25"/>
  <cols>
    <col min="2" max="2" width="13.42578125" customWidth="1"/>
  </cols>
  <sheetData>
    <row r="1" spans="1:32" s="5" customFormat="1" ht="21" x14ac:dyDescent="0.35">
      <c r="A1" s="6" t="s">
        <v>23</v>
      </c>
    </row>
    <row r="2" spans="1:32" s="6" customFormat="1" ht="21" x14ac:dyDescent="0.35">
      <c r="A2" s="7" t="s">
        <v>24</v>
      </c>
    </row>
    <row r="3" spans="1:32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>
        <f>DATE(2026,6,15)</f>
        <v>46188</v>
      </c>
      <c r="H3" s="2">
        <f>DATE(2026,6,16)</f>
        <v>46189</v>
      </c>
      <c r="I3" s="2">
        <f>DATE(2026,6,17)</f>
        <v>46190</v>
      </c>
      <c r="J3" s="2">
        <f>DATE(2026,6,18)</f>
        <v>46191</v>
      </c>
      <c r="K3" s="2">
        <f>DATE(2026,6,19)</f>
        <v>46192</v>
      </c>
      <c r="L3" s="2">
        <f>DATE(2026,6,20)</f>
        <v>46193</v>
      </c>
      <c r="M3" s="2">
        <f>DATE(2026,6,21)</f>
        <v>46194</v>
      </c>
      <c r="N3" s="2">
        <f>DATE(2026,6,22)</f>
        <v>46195</v>
      </c>
      <c r="O3" s="2">
        <f>DATE(2026,6,23)</f>
        <v>46196</v>
      </c>
      <c r="P3" s="2">
        <f>DATE(2026,6,24)</f>
        <v>46197</v>
      </c>
      <c r="Q3" s="2">
        <f>DATE(2026,6,25)</f>
        <v>46198</v>
      </c>
      <c r="R3" s="2">
        <f>DATE(2026,6,26)</f>
        <v>46199</v>
      </c>
      <c r="S3" s="2">
        <f>DATE(2026,6,27)</f>
        <v>46200</v>
      </c>
      <c r="T3" s="2">
        <f>DATE(2026,6,28)</f>
        <v>46201</v>
      </c>
      <c r="U3" s="2">
        <f>DATE(2026,6,29)</f>
        <v>46202</v>
      </c>
      <c r="V3" s="2">
        <f>DATE(2026,6,30)</f>
        <v>46203</v>
      </c>
      <c r="W3" s="2">
        <f>DATE(2026,7,1)</f>
        <v>46204</v>
      </c>
      <c r="X3" s="2">
        <f>DATE(2026,7,2)</f>
        <v>46205</v>
      </c>
      <c r="Y3" s="2">
        <f>DATE(2026,7,3)</f>
        <v>46206</v>
      </c>
      <c r="Z3" s="2"/>
      <c r="AA3" s="2"/>
      <c r="AB3" s="2"/>
      <c r="AC3" s="2"/>
      <c r="AD3" s="2"/>
      <c r="AE3" s="2"/>
      <c r="AF3" s="2"/>
    </row>
    <row r="4" spans="1:32" ht="45" customHeight="1" x14ac:dyDescent="0.25">
      <c r="A4" s="3">
        <v>1</v>
      </c>
      <c r="B4" s="3" t="s">
        <v>6</v>
      </c>
      <c r="C4" s="4">
        <v>46188</v>
      </c>
      <c r="D4" s="4">
        <v>46189</v>
      </c>
      <c r="E4" s="3" t="s">
        <v>7</v>
      </c>
      <c r="F4" s="3" t="s">
        <v>8</v>
      </c>
    </row>
    <row r="5" spans="1:32" ht="45" customHeight="1" x14ac:dyDescent="0.25">
      <c r="A5" s="3">
        <v>2</v>
      </c>
      <c r="B5" s="3" t="s">
        <v>9</v>
      </c>
      <c r="C5" s="4">
        <v>46190</v>
      </c>
      <c r="D5" s="4">
        <v>46191</v>
      </c>
      <c r="E5" s="3" t="s">
        <v>7</v>
      </c>
      <c r="F5" s="3" t="s">
        <v>8</v>
      </c>
    </row>
    <row r="6" spans="1:32" ht="30" customHeight="1" x14ac:dyDescent="0.25">
      <c r="A6" s="3">
        <v>3</v>
      </c>
      <c r="B6" s="3" t="s">
        <v>10</v>
      </c>
      <c r="C6" s="4">
        <v>46192</v>
      </c>
      <c r="D6" s="4">
        <v>46192</v>
      </c>
      <c r="E6" s="3" t="s">
        <v>11</v>
      </c>
      <c r="F6" s="3" t="s">
        <v>12</v>
      </c>
    </row>
    <row r="7" spans="1:32" ht="60" customHeight="1" x14ac:dyDescent="0.25">
      <c r="A7" s="3">
        <v>4</v>
      </c>
      <c r="B7" s="3" t="s">
        <v>13</v>
      </c>
      <c r="C7" s="4">
        <v>46195</v>
      </c>
      <c r="D7" s="4">
        <v>46195</v>
      </c>
      <c r="E7" s="3" t="s">
        <v>11</v>
      </c>
      <c r="F7" s="3" t="s">
        <v>14</v>
      </c>
    </row>
    <row r="8" spans="1:32" ht="45" customHeight="1" x14ac:dyDescent="0.25">
      <c r="A8" s="3">
        <v>5</v>
      </c>
      <c r="B8" s="3" t="s">
        <v>15</v>
      </c>
      <c r="C8" s="4">
        <v>46196</v>
      </c>
      <c r="D8" s="4">
        <v>46196</v>
      </c>
      <c r="E8" s="3" t="s">
        <v>11</v>
      </c>
      <c r="F8" s="3" t="s">
        <v>14</v>
      </c>
    </row>
    <row r="9" spans="1:32" ht="45" customHeight="1" x14ac:dyDescent="0.25">
      <c r="A9" s="3">
        <v>6</v>
      </c>
      <c r="B9" s="3" t="s">
        <v>16</v>
      </c>
      <c r="C9" s="4">
        <v>46197</v>
      </c>
      <c r="D9" s="4">
        <v>46197</v>
      </c>
      <c r="E9" s="3" t="s">
        <v>11</v>
      </c>
      <c r="F9" s="3" t="s">
        <v>14</v>
      </c>
    </row>
    <row r="10" spans="1:32" ht="45" customHeight="1" x14ac:dyDescent="0.25">
      <c r="A10" s="3">
        <v>7</v>
      </c>
      <c r="B10" s="3" t="s">
        <v>17</v>
      </c>
      <c r="C10" s="4">
        <v>46198</v>
      </c>
      <c r="D10" s="4">
        <v>46199</v>
      </c>
      <c r="E10" s="3" t="s">
        <v>7</v>
      </c>
      <c r="F10" s="3" t="s">
        <v>14</v>
      </c>
    </row>
    <row r="11" spans="1:32" ht="45" customHeight="1" x14ac:dyDescent="0.25">
      <c r="A11" s="3">
        <v>8</v>
      </c>
      <c r="B11" s="3" t="s">
        <v>18</v>
      </c>
      <c r="C11" s="4">
        <v>46202</v>
      </c>
      <c r="D11" s="4">
        <v>46203</v>
      </c>
      <c r="E11" s="3" t="s">
        <v>7</v>
      </c>
      <c r="F11" s="3" t="s">
        <v>14</v>
      </c>
    </row>
    <row r="12" spans="1:32" ht="30" customHeight="1" x14ac:dyDescent="0.25">
      <c r="A12" s="3">
        <v>9</v>
      </c>
      <c r="B12" s="3" t="s">
        <v>19</v>
      </c>
      <c r="C12" s="4">
        <v>46204</v>
      </c>
      <c r="D12" s="4">
        <v>46204</v>
      </c>
      <c r="E12" s="3" t="s">
        <v>11</v>
      </c>
      <c r="F12" s="3" t="s">
        <v>14</v>
      </c>
    </row>
    <row r="13" spans="1:32" ht="45" customHeight="1" x14ac:dyDescent="0.25">
      <c r="A13" s="3">
        <v>10</v>
      </c>
      <c r="B13" s="3" t="s">
        <v>20</v>
      </c>
      <c r="C13" s="4">
        <v>46205</v>
      </c>
      <c r="D13" s="4">
        <v>46205</v>
      </c>
      <c r="E13" s="3" t="s">
        <v>11</v>
      </c>
      <c r="F13" s="3" t="s">
        <v>14</v>
      </c>
    </row>
    <row r="14" spans="1:32" ht="30" customHeight="1" x14ac:dyDescent="0.25">
      <c r="A14" s="3">
        <v>11</v>
      </c>
      <c r="B14" s="3" t="s">
        <v>21</v>
      </c>
      <c r="C14" s="4">
        <v>46206</v>
      </c>
      <c r="D14" s="4">
        <v>46206</v>
      </c>
      <c r="E14" s="3" t="s">
        <v>11</v>
      </c>
      <c r="F14" s="3" t="s">
        <v>14</v>
      </c>
    </row>
    <row r="15" spans="1:32" ht="30" customHeight="1" x14ac:dyDescent="0.25">
      <c r="A15" s="3">
        <v>12</v>
      </c>
      <c r="B15" s="3" t="s">
        <v>22</v>
      </c>
      <c r="C15" s="4">
        <v>46206</v>
      </c>
      <c r="D15" s="4">
        <v>46206</v>
      </c>
      <c r="E15" s="3" t="s">
        <v>11</v>
      </c>
      <c r="F15" s="3" t="s">
        <v>14</v>
      </c>
    </row>
  </sheetData>
  <mergeCells count="2">
    <mergeCell ref="A1:XFD1"/>
    <mergeCell ref="A2:XFD2"/>
  </mergeCells>
  <conditionalFormatting sqref="G4:AF15">
    <cfRule type="expression" dxfId="0" priority="2">
      <formula>AND(G$3&gt;=$C4,G$3&lt;=$D4)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hamid h</dc:creator>
  <dc:description/>
  <cp:lastModifiedBy>hamid h</cp:lastModifiedBy>
  <cp:revision>0</cp:revision>
  <dcterms:created xsi:type="dcterms:W3CDTF">2026-06-15T10:51:23Z</dcterms:created>
  <dcterms:modified xsi:type="dcterms:W3CDTF">2026-06-15T14:52:02Z</dcterms:modified>
  <dc:language>en-US</dc:language>
</cp:coreProperties>
</file>